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980537\Downloads\vita\"/>
    </mc:Choice>
  </mc:AlternateContent>
  <xr:revisionPtr revIDLastSave="0" documentId="13_ncr:1_{E141A6C7-14C5-461C-B512-1A747CEA8778}" xr6:coauthVersionLast="47" xr6:coauthVersionMax="47" xr10:uidLastSave="{00000000-0000-0000-0000-000000000000}"/>
  <bookViews>
    <workbookView xWindow="-110" yWindow="-110" windowWidth="19420" windowHeight="10420" activeTab="4" xr2:uid="{6D88F7BB-3F66-4DF3-A580-C3BE4D40B9B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K4" i="4"/>
  <c r="K5" i="4"/>
  <c r="K3" i="4"/>
  <c r="F7" i="2"/>
  <c r="F8" i="2"/>
  <c r="F9" i="2"/>
  <c r="F10" i="2"/>
  <c r="F11" i="2"/>
  <c r="F12" i="2"/>
  <c r="F6" i="2"/>
  <c r="E14" i="1"/>
  <c r="E15" i="1"/>
  <c r="E16" i="1"/>
  <c r="E17" i="1"/>
  <c r="E18" i="1"/>
  <c r="E19" i="1"/>
  <c r="E13" i="1"/>
</calcChain>
</file>

<file path=xl/sharedStrings.xml><?xml version="1.0" encoding="utf-8"?>
<sst xmlns="http://schemas.openxmlformats.org/spreadsheetml/2006/main" count="154" uniqueCount="55">
  <si>
    <t>EID</t>
  </si>
  <si>
    <t>ENAME</t>
  </si>
  <si>
    <t>SALARY</t>
  </si>
  <si>
    <t>DEPTID</t>
  </si>
  <si>
    <t>a</t>
  </si>
  <si>
    <t>b</t>
  </si>
  <si>
    <t>c</t>
  </si>
  <si>
    <t>d</t>
  </si>
  <si>
    <t>e</t>
  </si>
  <si>
    <t>f</t>
  </si>
  <si>
    <t>g</t>
  </si>
  <si>
    <t>row_number() over(order by salary desc)</t>
  </si>
  <si>
    <t>rank() over(order by salary desc)</t>
  </si>
  <si>
    <t>dense_rank() over(order by salary desc)</t>
  </si>
  <si>
    <t>row_number() over(partition by deptid order by salary desc)</t>
  </si>
  <si>
    <t>MgrID</t>
  </si>
  <si>
    <t>emp_mgr</t>
  </si>
  <si>
    <t>MgrName</t>
  </si>
  <si>
    <t>Ename</t>
  </si>
  <si>
    <t>Column1</t>
  </si>
  <si>
    <t>E</t>
  </si>
  <si>
    <t>M</t>
  </si>
  <si>
    <t>Roll</t>
  </si>
  <si>
    <t>Sub</t>
  </si>
  <si>
    <t>Marks</t>
  </si>
  <si>
    <t>H</t>
  </si>
  <si>
    <t>Result</t>
  </si>
  <si>
    <t>Pass when in all subs marks are &gt;=35 and percent is &gt;=40 otherwise fail</t>
  </si>
  <si>
    <t>Pass</t>
  </si>
  <si>
    <t>Fail</t>
  </si>
  <si>
    <t>CID</t>
  </si>
  <si>
    <t>PID</t>
  </si>
  <si>
    <t>Custprod</t>
  </si>
  <si>
    <t>C1</t>
  </si>
  <si>
    <t>C2</t>
  </si>
  <si>
    <t>Num</t>
  </si>
  <si>
    <t>Den</t>
  </si>
  <si>
    <t>Similarity</t>
  </si>
  <si>
    <t>Count of common products between the two customers</t>
  </si>
  <si>
    <t>Distinct count of all the products between the two customers</t>
  </si>
  <si>
    <t>1,5,7,9,12</t>
  </si>
  <si>
    <t>2,6,12</t>
  </si>
  <si>
    <t>3,7,8,9,10</t>
  </si>
  <si>
    <t>Parts</t>
  </si>
  <si>
    <t>PartID</t>
  </si>
  <si>
    <t>ParentPartID</t>
  </si>
  <si>
    <t>A</t>
  </si>
  <si>
    <t>B</t>
  </si>
  <si>
    <t>C</t>
  </si>
  <si>
    <t>D</t>
  </si>
  <si>
    <t>F</t>
  </si>
  <si>
    <t>G</t>
  </si>
  <si>
    <t>J</t>
  </si>
  <si>
    <t>I</t>
  </si>
  <si>
    <t>TopMostParent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</si>
</sst>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1"/>
      </patternFill>
    </fill>
    <fill>
      <patternFill patternType="solid">
        <fgColor theme="4"/>
        <bgColor theme="1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3" borderId="0" xfId="0" applyFill="1"/>
    <xf numFmtId="0" fontId="3" fillId="4" borderId="2" xfId="0" applyFont="1" applyFill="1" applyBorder="1"/>
    <xf numFmtId="0" fontId="4" fillId="3" borderId="2" xfId="0" applyFont="1" applyFill="1" applyBorder="1"/>
    <xf numFmtId="0" fontId="4" fillId="3" borderId="4" xfId="0" applyFont="1" applyFill="1" applyBorder="1"/>
    <xf numFmtId="0" fontId="1" fillId="5" borderId="1" xfId="0" applyFont="1" applyFill="1" applyBorder="1"/>
    <xf numFmtId="0" fontId="0" fillId="6" borderId="1" xfId="0" applyFont="1" applyFill="1" applyBorder="1"/>
    <xf numFmtId="0" fontId="0" fillId="6" borderId="3" xfId="0" applyFont="1" applyFill="1" applyBorder="1"/>
    <xf numFmtId="9" fontId="0" fillId="0" borderId="0" xfId="1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left" wrapText="1"/>
    </xf>
  </cellXfs>
  <cellStyles count="2">
    <cellStyle name="Normal" xfId="0" builtinId="0"/>
    <cellStyle name="Percent" xfId="1" builtinId="5"/>
  </cellStyles>
  <dxfs count="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071174-492D-4122-B83E-24EC993BB744}" name="Table1" displayName="Table1" ref="A1:H8" totalsRowShown="0">
  <autoFilter ref="A1:H8" xr:uid="{80071174-492D-4122-B83E-24EC993BB744}"/>
  <tableColumns count="8">
    <tableColumn id="1" xr3:uid="{52B12596-EB95-4CEC-9BAF-DE1F50823DFF}" name="EID"/>
    <tableColumn id="2" xr3:uid="{972E7476-4111-49E9-AB96-07A997712D0A}" name="ENAME"/>
    <tableColumn id="3" xr3:uid="{11104FE7-74B5-4CAC-85CE-B86F0E5FB34E}" name="SALARY"/>
    <tableColumn id="4" xr3:uid="{54E2E0A9-3337-4A8B-98BC-DC809819C981}" name="DEPTID"/>
    <tableColumn id="5" xr3:uid="{38D32D3C-284D-4558-9196-35C0722EBD05}" name="row_number() over(order by salary desc)"/>
    <tableColumn id="6" xr3:uid="{5F945411-2E88-46FF-A03D-535FE09123B2}" name="rank() over(order by salary desc)"/>
    <tableColumn id="7" xr3:uid="{21EDF01C-5FCF-40D4-B314-E3FCD5382C0A}" name="dense_rank() over(order by salary desc)"/>
    <tableColumn id="8" xr3:uid="{73BD7978-940F-454D-95EF-D9A372EB424B}" name="row_number() over(partition by deptid order by salary desc)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71C70E-F105-4F61-BE81-2580D30B3990}" name="Table2" displayName="Table2" ref="C5:F12" totalsRowShown="0">
  <autoFilter ref="C5:F12" xr:uid="{D771C70E-F105-4F61-BE81-2580D30B3990}"/>
  <tableColumns count="4">
    <tableColumn id="1" xr3:uid="{7628DC85-7976-46F2-AD6E-D1C308B53D53}" name="EID"/>
    <tableColumn id="2" xr3:uid="{D4216B8C-19B0-4C33-AC28-A8C76EBB2E57}" name="ENAME"/>
    <tableColumn id="3" xr3:uid="{A86233D6-485B-4F56-B245-1E6CDB67B89C}" name="MgrID"/>
    <tableColumn id="4" xr3:uid="{BC56DF2A-49E5-4CB6-A314-4BF7EC4FFBD1}" name="Column1" dataDxfId="3">
      <calculatedColumnFormula>_xlfn.CONCAT("insert into emp_mgr values(",Table2[[#This Row],[EID]],",'",Table2[[#This Row],[ENAME]],"',",Table2[[#This Row],[MgrID]],");")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DBF6AA-9203-4BDF-AC67-0D74A1545699}" name="Table3" displayName="Table3" ref="J5:M10" totalsRowShown="0">
  <autoFilter ref="J5:M10" xr:uid="{37DBF6AA-9203-4BDF-AC67-0D74A1545699}"/>
  <tableColumns count="4">
    <tableColumn id="1" xr3:uid="{3D4FCE3C-4F79-4922-A073-7EDE8F822605}" name="MgrID"/>
    <tableColumn id="2" xr3:uid="{D7185EB2-F458-49F8-A2E1-D4AECBF1CC3D}" name="MgrName" dataDxfId="2"/>
    <tableColumn id="3" xr3:uid="{04ED45CA-15B4-4DE5-8B4C-F98282064271}" name="EID"/>
    <tableColumn id="4" xr3:uid="{0A1F2358-25BA-4468-B33F-04BC5D3168DA}" name="Enam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4E8BFE-FFAE-4B8E-B54E-35425AF19A30}" name="Table4" displayName="Table4" ref="B4:D13" totalsRowShown="0">
  <autoFilter ref="B4:D13" xr:uid="{3F4E8BFE-FFAE-4B8E-B54E-35425AF19A30}"/>
  <tableColumns count="3">
    <tableColumn id="1" xr3:uid="{EC7301AD-3952-4B75-9E2A-92629B5DF463}" name="Roll"/>
    <tableColumn id="2" xr3:uid="{1F549C3A-7E8B-47CB-B49A-33AF85736EA4}" name="Sub"/>
    <tableColumn id="3" xr3:uid="{C33A0AA6-940D-4F16-88C0-EA298BBEEC8F}" name="Mark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DB8967-0416-427A-9BBA-3E96221BF3BF}" name="Table5" displayName="Table5" ref="I4:J7" totalsRowShown="0">
  <autoFilter ref="I4:J7" xr:uid="{C9DB8967-0416-427A-9BBA-3E96221BF3BF}"/>
  <tableColumns count="2">
    <tableColumn id="1" xr3:uid="{951470CD-5449-4B6B-A8C3-C06B2716D5FC}" name="Roll"/>
    <tableColumn id="2" xr3:uid="{24A8560A-F26D-4F7E-B6C9-19E415B25B98}" name="Result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27F45C-938E-4AC9-8C75-4E3EB7B013B6}" name="Table6" displayName="Table6" ref="B2:D15" totalsRowShown="0">
  <autoFilter ref="B2:D15" xr:uid="{7727F45C-938E-4AC9-8C75-4E3EB7B013B6}"/>
  <tableColumns count="3">
    <tableColumn id="1" xr3:uid="{825BA861-C29F-46F6-AC73-A86DD9A33CCD}" name="CID"/>
    <tableColumn id="2" xr3:uid="{6D5863F1-81B0-4B27-9FFA-C6D34E5918D8}" name="PID"/>
    <tableColumn id="3" xr3:uid="{4AEC516F-F39D-432B-8A0B-CCB5C3C10384}" name="Column1" dataDxfId="0">
      <calculatedColumnFormula>_xlfn.CONCAT("insert into custprod values(",Table6[[#This Row],[CID]],",",Table6[[#This Row],[PID]],");")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0FB5E2-7F2B-4488-A104-54FE1FCCB947}" name="Table7" displayName="Table7" ref="G2:K6" totalsRowShown="0">
  <autoFilter ref="G2:K6" xr:uid="{AC0FB5E2-7F2B-4488-A104-54FE1FCCB947}"/>
  <tableColumns count="5">
    <tableColumn id="1" xr3:uid="{24F156E2-BD7F-42A9-94D9-1D9F55432812}" name="C1"/>
    <tableColumn id="2" xr3:uid="{CFED4035-2C5F-46EB-8B12-E9AFEE651E36}" name="C2"/>
    <tableColumn id="3" xr3:uid="{FE07BC2B-71DE-4776-B9BF-2B5EE79A738C}" name="Num"/>
    <tableColumn id="4" xr3:uid="{D3EABE63-FEB5-41D9-AFE6-B41ED0C8FA43}" name="Den"/>
    <tableColumn id="5" xr3:uid="{5F8EAA2A-E6E0-4D5A-8FAB-4CCF7FB359C9}" name="Similarity" dataDxfId="1" dataCellStyle="Perc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025A-A572-43AA-8092-9E3A5E2EACA5}">
  <dimension ref="A1:H19"/>
  <sheetViews>
    <sheetView topLeftCell="B5" zoomScale="120" zoomScaleNormal="120" workbookViewId="0">
      <selection activeCell="G19" sqref="G19"/>
    </sheetView>
  </sheetViews>
  <sheetFormatPr defaultRowHeight="14.5" x14ac:dyDescent="0.35"/>
  <cols>
    <col min="5" max="5" width="37.90625" bestFit="1" customWidth="1"/>
    <col min="6" max="6" width="30.6328125" bestFit="1" customWidth="1"/>
    <col min="7" max="7" width="36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35">
      <c r="A2">
        <v>1</v>
      </c>
      <c r="B2" t="s">
        <v>4</v>
      </c>
      <c r="C2">
        <v>100</v>
      </c>
      <c r="D2">
        <v>1</v>
      </c>
      <c r="E2">
        <v>3</v>
      </c>
      <c r="F2">
        <v>3</v>
      </c>
      <c r="G2">
        <v>2</v>
      </c>
      <c r="H2">
        <v>1</v>
      </c>
    </row>
    <row r="3" spans="1:8" x14ac:dyDescent="0.35">
      <c r="A3">
        <v>2</v>
      </c>
      <c r="B3" t="s">
        <v>5</v>
      </c>
      <c r="C3">
        <v>200</v>
      </c>
      <c r="D3">
        <v>2</v>
      </c>
      <c r="E3">
        <v>1</v>
      </c>
      <c r="F3">
        <v>1</v>
      </c>
      <c r="G3">
        <v>1</v>
      </c>
      <c r="H3">
        <v>1</v>
      </c>
    </row>
    <row r="4" spans="1:8" x14ac:dyDescent="0.35">
      <c r="A4">
        <v>3</v>
      </c>
      <c r="B4" t="s">
        <v>6</v>
      </c>
      <c r="C4">
        <v>100</v>
      </c>
      <c r="D4">
        <v>1</v>
      </c>
      <c r="E4">
        <v>4</v>
      </c>
      <c r="F4">
        <v>3</v>
      </c>
      <c r="G4">
        <v>2</v>
      </c>
      <c r="H4">
        <v>2</v>
      </c>
    </row>
    <row r="5" spans="1:8" x14ac:dyDescent="0.35">
      <c r="A5">
        <v>4</v>
      </c>
      <c r="B5" t="s">
        <v>7</v>
      </c>
      <c r="C5">
        <v>200</v>
      </c>
      <c r="D5">
        <v>2</v>
      </c>
      <c r="E5">
        <v>2</v>
      </c>
      <c r="F5">
        <v>1</v>
      </c>
      <c r="G5">
        <v>1</v>
      </c>
      <c r="H5">
        <v>2</v>
      </c>
    </row>
    <row r="6" spans="1:8" x14ac:dyDescent="0.35">
      <c r="A6">
        <v>5</v>
      </c>
      <c r="B6" t="s">
        <v>8</v>
      </c>
      <c r="C6">
        <v>50</v>
      </c>
      <c r="D6">
        <v>1</v>
      </c>
      <c r="E6">
        <v>7</v>
      </c>
      <c r="F6">
        <v>7</v>
      </c>
      <c r="G6">
        <v>5</v>
      </c>
      <c r="H6">
        <v>4</v>
      </c>
    </row>
    <row r="7" spans="1:8" x14ac:dyDescent="0.35">
      <c r="A7">
        <v>6</v>
      </c>
      <c r="B7" t="s">
        <v>9</v>
      </c>
      <c r="C7">
        <v>60</v>
      </c>
      <c r="D7">
        <v>2</v>
      </c>
      <c r="E7">
        <v>6</v>
      </c>
      <c r="F7">
        <v>6</v>
      </c>
      <c r="G7">
        <v>4</v>
      </c>
      <c r="H7">
        <v>3</v>
      </c>
    </row>
    <row r="8" spans="1:8" x14ac:dyDescent="0.35">
      <c r="A8">
        <v>7</v>
      </c>
      <c r="B8" t="s">
        <v>10</v>
      </c>
      <c r="C8">
        <v>70</v>
      </c>
      <c r="D8">
        <v>1</v>
      </c>
      <c r="E8">
        <v>5</v>
      </c>
      <c r="F8">
        <v>5</v>
      </c>
      <c r="G8">
        <v>3</v>
      </c>
      <c r="H8">
        <v>3</v>
      </c>
    </row>
    <row r="12" spans="1:8" x14ac:dyDescent="0.35">
      <c r="A12" t="s">
        <v>0</v>
      </c>
      <c r="B12" t="s">
        <v>1</v>
      </c>
      <c r="C12" t="s">
        <v>2</v>
      </c>
      <c r="D12" t="s">
        <v>3</v>
      </c>
    </row>
    <row r="13" spans="1:8" x14ac:dyDescent="0.35">
      <c r="A13">
        <v>1</v>
      </c>
      <c r="B13" t="s">
        <v>4</v>
      </c>
      <c r="C13">
        <v>100</v>
      </c>
      <c r="D13">
        <v>1</v>
      </c>
      <c r="E13" t="str">
        <f>_xlfn.CONCAT("insert into emp_sample values(",A13,",'",B13,"',",C13,",",D13,");")</f>
        <v>insert into emp_sample values(1,'a',100,1);</v>
      </c>
    </row>
    <row r="14" spans="1:8" x14ac:dyDescent="0.35">
      <c r="A14">
        <v>2</v>
      </c>
      <c r="B14" t="s">
        <v>5</v>
      </c>
      <c r="C14">
        <v>200</v>
      </c>
      <c r="D14">
        <v>2</v>
      </c>
      <c r="E14" t="str">
        <f t="shared" ref="E14:E19" si="0">_xlfn.CONCAT("insert into emp_sample values(",A14,",'",B14,"',",C14,",",D14,");")</f>
        <v>insert into emp_sample values(2,'b',200,2);</v>
      </c>
    </row>
    <row r="15" spans="1:8" x14ac:dyDescent="0.35">
      <c r="A15">
        <v>3</v>
      </c>
      <c r="B15" t="s">
        <v>6</v>
      </c>
      <c r="C15">
        <v>100</v>
      </c>
      <c r="D15">
        <v>1</v>
      </c>
      <c r="E15" t="str">
        <f t="shared" si="0"/>
        <v>insert into emp_sample values(3,'c',100,1);</v>
      </c>
    </row>
    <row r="16" spans="1:8" x14ac:dyDescent="0.35">
      <c r="A16">
        <v>4</v>
      </c>
      <c r="B16" t="s">
        <v>7</v>
      </c>
      <c r="C16">
        <v>200</v>
      </c>
      <c r="D16">
        <v>2</v>
      </c>
      <c r="E16" t="str">
        <f t="shared" si="0"/>
        <v>insert into emp_sample values(4,'d',200,2);</v>
      </c>
    </row>
    <row r="17" spans="1:5" x14ac:dyDescent="0.35">
      <c r="A17">
        <v>5</v>
      </c>
      <c r="B17" t="s">
        <v>8</v>
      </c>
      <c r="C17">
        <v>50</v>
      </c>
      <c r="D17">
        <v>1</v>
      </c>
      <c r="E17" t="str">
        <f t="shared" si="0"/>
        <v>insert into emp_sample values(5,'e',50,1);</v>
      </c>
    </row>
    <row r="18" spans="1:5" x14ac:dyDescent="0.35">
      <c r="A18">
        <v>6</v>
      </c>
      <c r="B18" t="s">
        <v>9</v>
      </c>
      <c r="C18">
        <v>60</v>
      </c>
      <c r="D18">
        <v>2</v>
      </c>
      <c r="E18" t="str">
        <f t="shared" si="0"/>
        <v>insert into emp_sample values(6,'f',60,2);</v>
      </c>
    </row>
    <row r="19" spans="1:5" x14ac:dyDescent="0.35">
      <c r="A19">
        <v>7</v>
      </c>
      <c r="B19" t="s">
        <v>10</v>
      </c>
      <c r="C19">
        <v>70</v>
      </c>
      <c r="D19">
        <v>1</v>
      </c>
      <c r="E19" t="str">
        <f t="shared" si="0"/>
        <v>insert into emp_sample values(7,'g',70,1);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84A1-FDEE-4641-923A-0C2EDD7E0826}">
  <dimension ref="C4:M23"/>
  <sheetViews>
    <sheetView topLeftCell="A5" workbookViewId="0">
      <selection activeCell="J20" sqref="J20"/>
    </sheetView>
  </sheetViews>
  <sheetFormatPr defaultRowHeight="14.5" x14ac:dyDescent="0.35"/>
  <cols>
    <col min="4" max="4" width="9" customWidth="1"/>
    <col min="11" max="11" width="11.08984375" customWidth="1"/>
  </cols>
  <sheetData>
    <row r="4" spans="3:13" x14ac:dyDescent="0.35">
      <c r="C4" s="15" t="s">
        <v>16</v>
      </c>
      <c r="D4" s="15"/>
      <c r="E4" s="15"/>
    </row>
    <row r="5" spans="3:13" x14ac:dyDescent="0.35">
      <c r="C5" t="s">
        <v>0</v>
      </c>
      <c r="D5" t="s">
        <v>1</v>
      </c>
      <c r="E5" t="s">
        <v>15</v>
      </c>
      <c r="F5" t="s">
        <v>19</v>
      </c>
      <c r="J5" t="s">
        <v>15</v>
      </c>
      <c r="K5" s="7" t="s">
        <v>17</v>
      </c>
      <c r="L5" t="s">
        <v>0</v>
      </c>
      <c r="M5" t="s">
        <v>18</v>
      </c>
    </row>
    <row r="6" spans="3:13" x14ac:dyDescent="0.35">
      <c r="C6">
        <v>1</v>
      </c>
      <c r="D6" t="s">
        <v>4</v>
      </c>
      <c r="E6">
        <v>4</v>
      </c>
      <c r="F6" t="str">
        <f>_xlfn.CONCAT("insert into emp_mgr values(",Table2[[#This Row],[EID]],",'",Table2[[#This Row],[ENAME]],"',",Table2[[#This Row],[MgrID]],");")</f>
        <v>insert into emp_mgr values(1,'a',4);</v>
      </c>
      <c r="J6">
        <v>4</v>
      </c>
      <c r="K6" s="7" t="s">
        <v>7</v>
      </c>
      <c r="L6">
        <v>1</v>
      </c>
      <c r="M6" t="s">
        <v>4</v>
      </c>
    </row>
    <row r="7" spans="3:13" x14ac:dyDescent="0.35">
      <c r="C7">
        <v>2</v>
      </c>
      <c r="D7" t="s">
        <v>5</v>
      </c>
      <c r="E7">
        <v>4</v>
      </c>
      <c r="F7" t="str">
        <f>_xlfn.CONCAT("insert into emp_mgr values(",Table2[[#This Row],[EID]],",'",Table2[[#This Row],[ENAME]],"',",Table2[[#This Row],[MgrID]],");")</f>
        <v>insert into emp_mgr values(2,'b',4);</v>
      </c>
      <c r="J7">
        <v>4</v>
      </c>
      <c r="K7" s="7" t="s">
        <v>7</v>
      </c>
      <c r="L7">
        <v>2</v>
      </c>
      <c r="M7" t="s">
        <v>5</v>
      </c>
    </row>
    <row r="8" spans="3:13" x14ac:dyDescent="0.35">
      <c r="C8">
        <v>3</v>
      </c>
      <c r="D8" t="s">
        <v>6</v>
      </c>
      <c r="E8">
        <v>4</v>
      </c>
      <c r="F8" t="str">
        <f>_xlfn.CONCAT("insert into emp_mgr values(",Table2[[#This Row],[EID]],",'",Table2[[#This Row],[ENAME]],"',",Table2[[#This Row],[MgrID]],");")</f>
        <v>insert into emp_mgr values(3,'c',4);</v>
      </c>
      <c r="J8">
        <v>4</v>
      </c>
      <c r="K8" s="7" t="s">
        <v>7</v>
      </c>
      <c r="L8">
        <v>3</v>
      </c>
      <c r="M8" t="s">
        <v>6</v>
      </c>
    </row>
    <row r="9" spans="3:13" x14ac:dyDescent="0.35">
      <c r="C9">
        <v>4</v>
      </c>
      <c r="D9" t="s">
        <v>7</v>
      </c>
      <c r="E9">
        <v>4</v>
      </c>
      <c r="F9" t="str">
        <f>_xlfn.CONCAT("insert into emp_mgr values(",Table2[[#This Row],[EID]],",'",Table2[[#This Row],[ENAME]],"',",Table2[[#This Row],[MgrID]],");")</f>
        <v>insert into emp_mgr values(4,'d',4);</v>
      </c>
      <c r="J9">
        <v>6</v>
      </c>
      <c r="K9" s="7" t="s">
        <v>9</v>
      </c>
      <c r="L9">
        <v>5</v>
      </c>
      <c r="M9" t="s">
        <v>8</v>
      </c>
    </row>
    <row r="10" spans="3:13" x14ac:dyDescent="0.35">
      <c r="C10">
        <v>5</v>
      </c>
      <c r="D10" t="s">
        <v>8</v>
      </c>
      <c r="E10">
        <v>6</v>
      </c>
      <c r="F10" t="str">
        <f>_xlfn.CONCAT("insert into emp_mgr values(",Table2[[#This Row],[EID]],",'",Table2[[#This Row],[ENAME]],"',",Table2[[#This Row],[MgrID]],");")</f>
        <v>insert into emp_mgr values(5,'e',6);</v>
      </c>
      <c r="J10">
        <v>6</v>
      </c>
      <c r="K10" s="7" t="s">
        <v>9</v>
      </c>
      <c r="L10">
        <v>7</v>
      </c>
      <c r="M10" t="s">
        <v>10</v>
      </c>
    </row>
    <row r="11" spans="3:13" x14ac:dyDescent="0.35">
      <c r="C11">
        <v>6</v>
      </c>
      <c r="D11" t="s">
        <v>9</v>
      </c>
      <c r="E11">
        <v>6</v>
      </c>
      <c r="F11" t="str">
        <f>_xlfn.CONCAT("insert into emp_mgr values(",Table2[[#This Row],[EID]],",'",Table2[[#This Row],[ENAME]],"',",Table2[[#This Row],[MgrID]],");")</f>
        <v>insert into emp_mgr values(6,'f',6);</v>
      </c>
      <c r="K11" s="7"/>
    </row>
    <row r="12" spans="3:13" x14ac:dyDescent="0.35">
      <c r="C12">
        <v>7</v>
      </c>
      <c r="D12" t="s">
        <v>10</v>
      </c>
      <c r="E12">
        <v>6</v>
      </c>
      <c r="F12" t="str">
        <f>_xlfn.CONCAT("insert into emp_mgr values(",Table2[[#This Row],[EID]],",'",Table2[[#This Row],[ENAME]],"',",Table2[[#This Row],[MgrID]],");")</f>
        <v>insert into emp_mgr values(7,'g',6);</v>
      </c>
    </row>
    <row r="15" spans="3:13" x14ac:dyDescent="0.35">
      <c r="D15" s="16" t="s">
        <v>20</v>
      </c>
      <c r="E15" s="16"/>
      <c r="F15" s="16"/>
      <c r="I15" s="16" t="s">
        <v>21</v>
      </c>
      <c r="J15" s="16"/>
      <c r="K15" s="16"/>
    </row>
    <row r="16" spans="3:13" x14ac:dyDescent="0.35">
      <c r="D16" s="1" t="s">
        <v>0</v>
      </c>
      <c r="E16" s="2" t="s">
        <v>1</v>
      </c>
      <c r="F16" s="8" t="s">
        <v>15</v>
      </c>
      <c r="I16" s="11" t="s">
        <v>0</v>
      </c>
      <c r="J16" s="2" t="s">
        <v>1</v>
      </c>
      <c r="K16" s="2" t="s">
        <v>15</v>
      </c>
    </row>
    <row r="17" spans="4:11" x14ac:dyDescent="0.35">
      <c r="D17" s="3">
        <v>1</v>
      </c>
      <c r="E17" s="4" t="s">
        <v>4</v>
      </c>
      <c r="F17" s="9">
        <v>4</v>
      </c>
      <c r="I17" s="12">
        <v>1</v>
      </c>
      <c r="J17" s="4" t="s">
        <v>4</v>
      </c>
      <c r="K17" s="4">
        <v>4</v>
      </c>
    </row>
    <row r="18" spans="4:11" x14ac:dyDescent="0.35">
      <c r="D18" s="3">
        <v>2</v>
      </c>
      <c r="E18" s="4" t="s">
        <v>5</v>
      </c>
      <c r="F18" s="9">
        <v>4</v>
      </c>
      <c r="I18" s="12">
        <v>2</v>
      </c>
      <c r="J18" s="4" t="s">
        <v>5</v>
      </c>
      <c r="K18" s="4">
        <v>4</v>
      </c>
    </row>
    <row r="19" spans="4:11" x14ac:dyDescent="0.35">
      <c r="D19" s="3">
        <v>3</v>
      </c>
      <c r="E19" s="4" t="s">
        <v>6</v>
      </c>
      <c r="F19" s="9">
        <v>4</v>
      </c>
      <c r="I19" s="12">
        <v>3</v>
      </c>
      <c r="J19" s="4" t="s">
        <v>6</v>
      </c>
      <c r="K19" s="4">
        <v>4</v>
      </c>
    </row>
    <row r="20" spans="4:11" x14ac:dyDescent="0.35">
      <c r="D20" s="3">
        <v>4</v>
      </c>
      <c r="E20" s="4" t="s">
        <v>7</v>
      </c>
      <c r="F20" s="9">
        <v>4</v>
      </c>
      <c r="I20" s="12">
        <v>4</v>
      </c>
      <c r="J20" s="4" t="s">
        <v>7</v>
      </c>
      <c r="K20" s="4">
        <v>4</v>
      </c>
    </row>
    <row r="21" spans="4:11" x14ac:dyDescent="0.35">
      <c r="D21" s="3">
        <v>5</v>
      </c>
      <c r="E21" s="4" t="s">
        <v>8</v>
      </c>
      <c r="F21" s="9">
        <v>6</v>
      </c>
      <c r="I21" s="12">
        <v>5</v>
      </c>
      <c r="J21" s="4" t="s">
        <v>8</v>
      </c>
      <c r="K21" s="4">
        <v>6</v>
      </c>
    </row>
    <row r="22" spans="4:11" x14ac:dyDescent="0.35">
      <c r="D22" s="3">
        <v>6</v>
      </c>
      <c r="E22" s="4" t="s">
        <v>9</v>
      </c>
      <c r="F22" s="9">
        <v>6</v>
      </c>
      <c r="I22" s="12">
        <v>6</v>
      </c>
      <c r="J22" s="4" t="s">
        <v>9</v>
      </c>
      <c r="K22" s="4">
        <v>6</v>
      </c>
    </row>
    <row r="23" spans="4:11" x14ac:dyDescent="0.35">
      <c r="D23" s="5">
        <v>7</v>
      </c>
      <c r="E23" s="6" t="s">
        <v>10</v>
      </c>
      <c r="F23" s="10">
        <v>6</v>
      </c>
      <c r="I23" s="13">
        <v>7</v>
      </c>
      <c r="J23" s="6" t="s">
        <v>10</v>
      </c>
      <c r="K23" s="6">
        <v>6</v>
      </c>
    </row>
  </sheetData>
  <mergeCells count="3">
    <mergeCell ref="C4:E4"/>
    <mergeCell ref="D15:F15"/>
    <mergeCell ref="I15:K15"/>
  </mergeCells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45D7-3055-4C0D-9F84-B5434210F106}">
  <dimension ref="B3:J15"/>
  <sheetViews>
    <sheetView workbookViewId="0">
      <selection activeCell="F13" sqref="F13:H15"/>
    </sheetView>
  </sheetViews>
  <sheetFormatPr defaultRowHeight="14.5" x14ac:dyDescent="0.35"/>
  <sheetData>
    <row r="3" spans="2:10" x14ac:dyDescent="0.35">
      <c r="B3" s="15" t="s">
        <v>24</v>
      </c>
      <c r="C3" s="15"/>
      <c r="D3" s="15"/>
    </row>
    <row r="4" spans="2:10" x14ac:dyDescent="0.35">
      <c r="B4" t="s">
        <v>22</v>
      </c>
      <c r="C4" t="s">
        <v>23</v>
      </c>
      <c r="D4" t="s">
        <v>24</v>
      </c>
      <c r="I4" t="s">
        <v>22</v>
      </c>
      <c r="J4" t="s">
        <v>26</v>
      </c>
    </row>
    <row r="5" spans="2:10" x14ac:dyDescent="0.35">
      <c r="B5">
        <v>1</v>
      </c>
      <c r="C5" t="s">
        <v>21</v>
      </c>
      <c r="D5">
        <v>97</v>
      </c>
      <c r="I5">
        <v>1</v>
      </c>
      <c r="J5" t="s">
        <v>28</v>
      </c>
    </row>
    <row r="6" spans="2:10" x14ac:dyDescent="0.35">
      <c r="B6">
        <v>1</v>
      </c>
      <c r="C6" t="s">
        <v>20</v>
      </c>
      <c r="D6">
        <v>98</v>
      </c>
      <c r="I6">
        <v>2</v>
      </c>
      <c r="J6" t="s">
        <v>29</v>
      </c>
    </row>
    <row r="7" spans="2:10" x14ac:dyDescent="0.35">
      <c r="B7">
        <v>1</v>
      </c>
      <c r="C7" t="s">
        <v>25</v>
      </c>
      <c r="D7">
        <v>95</v>
      </c>
      <c r="I7">
        <v>3</v>
      </c>
      <c r="J7" t="s">
        <v>29</v>
      </c>
    </row>
    <row r="8" spans="2:10" x14ac:dyDescent="0.35">
      <c r="B8">
        <v>2</v>
      </c>
      <c r="C8" t="s">
        <v>21</v>
      </c>
      <c r="D8">
        <v>92</v>
      </c>
    </row>
    <row r="9" spans="2:10" x14ac:dyDescent="0.35">
      <c r="B9">
        <v>2</v>
      </c>
      <c r="C9" t="s">
        <v>20</v>
      </c>
      <c r="D9">
        <v>93</v>
      </c>
    </row>
    <row r="10" spans="2:10" x14ac:dyDescent="0.35">
      <c r="B10">
        <v>2</v>
      </c>
      <c r="C10" t="s">
        <v>25</v>
      </c>
      <c r="D10">
        <v>20</v>
      </c>
    </row>
    <row r="11" spans="2:10" x14ac:dyDescent="0.35">
      <c r="B11">
        <v>3</v>
      </c>
      <c r="C11" t="s">
        <v>21</v>
      </c>
      <c r="D11">
        <v>36</v>
      </c>
    </row>
    <row r="12" spans="2:10" x14ac:dyDescent="0.35">
      <c r="B12">
        <v>3</v>
      </c>
      <c r="C12" t="s">
        <v>20</v>
      </c>
      <c r="D12">
        <v>38</v>
      </c>
    </row>
    <row r="13" spans="2:10" x14ac:dyDescent="0.35">
      <c r="B13">
        <v>3</v>
      </c>
      <c r="C13" t="s">
        <v>25</v>
      </c>
      <c r="D13">
        <v>39</v>
      </c>
      <c r="F13" s="17" t="s">
        <v>27</v>
      </c>
      <c r="G13" s="17"/>
      <c r="H13" s="17"/>
    </row>
    <row r="14" spans="2:10" x14ac:dyDescent="0.35">
      <c r="F14" s="17"/>
      <c r="G14" s="17"/>
      <c r="H14" s="17"/>
    </row>
    <row r="15" spans="2:10" x14ac:dyDescent="0.35">
      <c r="F15" s="17"/>
      <c r="G15" s="17"/>
      <c r="H15" s="17"/>
    </row>
  </sheetData>
  <mergeCells count="2">
    <mergeCell ref="B3:D3"/>
    <mergeCell ref="F13:H15"/>
  </mergeCells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2E35-DC9E-4E9A-AA72-49DDBCDFAC5F}">
  <dimension ref="B1:K16"/>
  <sheetViews>
    <sheetView zoomScale="120" zoomScaleNormal="120" workbookViewId="0">
      <selection activeCell="D3" sqref="D3:D15"/>
    </sheetView>
  </sheetViews>
  <sheetFormatPr defaultRowHeight="14.5" x14ac:dyDescent="0.35"/>
  <cols>
    <col min="6" max="6" width="52.26953125" bestFit="1" customWidth="1"/>
    <col min="11" max="11" width="10.453125" customWidth="1"/>
  </cols>
  <sheetData>
    <row r="1" spans="2:11" x14ac:dyDescent="0.35">
      <c r="B1" s="15" t="s">
        <v>32</v>
      </c>
      <c r="C1" s="15"/>
    </row>
    <row r="2" spans="2:11" x14ac:dyDescent="0.35">
      <c r="B2" t="s">
        <v>30</v>
      </c>
      <c r="C2" t="s">
        <v>31</v>
      </c>
      <c r="D2" t="s">
        <v>19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</row>
    <row r="3" spans="2:11" x14ac:dyDescent="0.35">
      <c r="B3">
        <v>1</v>
      </c>
      <c r="C3">
        <v>1</v>
      </c>
      <c r="D3" t="str">
        <f>_xlfn.CONCAT("insert into custprod values(",Table6[[#This Row],[CID]],",",Table6[[#This Row],[PID]],");")</f>
        <v>insert into custprod values(1,1);</v>
      </c>
      <c r="G3">
        <v>1</v>
      </c>
      <c r="H3">
        <v>2</v>
      </c>
      <c r="I3">
        <v>1</v>
      </c>
      <c r="J3">
        <v>7</v>
      </c>
      <c r="K3" s="14">
        <f>I3/J3</f>
        <v>0.14285714285714285</v>
      </c>
    </row>
    <row r="4" spans="2:11" x14ac:dyDescent="0.35">
      <c r="B4">
        <v>1</v>
      </c>
      <c r="C4">
        <v>5</v>
      </c>
      <c r="D4" t="str">
        <f>_xlfn.CONCAT("insert into custprod values(",Table6[[#This Row],[CID]],",",Table6[[#This Row],[PID]],");")</f>
        <v>insert into custprod values(1,5);</v>
      </c>
      <c r="G4">
        <v>1</v>
      </c>
      <c r="H4">
        <v>3</v>
      </c>
      <c r="I4">
        <v>2</v>
      </c>
      <c r="J4">
        <v>8</v>
      </c>
      <c r="K4" s="14">
        <f t="shared" ref="K4:K5" si="0">I4/J4</f>
        <v>0.25</v>
      </c>
    </row>
    <row r="5" spans="2:11" x14ac:dyDescent="0.35">
      <c r="B5">
        <v>1</v>
      </c>
      <c r="C5">
        <v>7</v>
      </c>
      <c r="D5" t="str">
        <f>_xlfn.CONCAT("insert into custprod values(",Table6[[#This Row],[CID]],",",Table6[[#This Row],[PID]],");")</f>
        <v>insert into custprod values(1,7);</v>
      </c>
      <c r="G5">
        <v>2</v>
      </c>
      <c r="H5">
        <v>3</v>
      </c>
      <c r="I5">
        <v>0</v>
      </c>
      <c r="J5">
        <v>8</v>
      </c>
      <c r="K5" s="14">
        <f t="shared" si="0"/>
        <v>0</v>
      </c>
    </row>
    <row r="6" spans="2:11" x14ac:dyDescent="0.35">
      <c r="B6">
        <v>1</v>
      </c>
      <c r="C6">
        <v>9</v>
      </c>
      <c r="D6" t="str">
        <f>_xlfn.CONCAT("insert into custprod values(",Table6[[#This Row],[CID]],",",Table6[[#This Row],[PID]],");")</f>
        <v>insert into custprod values(1,9);</v>
      </c>
    </row>
    <row r="7" spans="2:11" x14ac:dyDescent="0.35">
      <c r="B7">
        <v>1</v>
      </c>
      <c r="C7">
        <v>12</v>
      </c>
      <c r="D7" t="str">
        <f>_xlfn.CONCAT("insert into custprod values(",Table6[[#This Row],[CID]],",",Table6[[#This Row],[PID]],");")</f>
        <v>insert into custprod values(1,12);</v>
      </c>
    </row>
    <row r="8" spans="2:11" x14ac:dyDescent="0.35">
      <c r="B8">
        <v>2</v>
      </c>
      <c r="C8">
        <v>2</v>
      </c>
      <c r="D8" t="str">
        <f>_xlfn.CONCAT("insert into custprod values(",Table6[[#This Row],[CID]],",",Table6[[#This Row],[PID]],");")</f>
        <v>insert into custprod values(2,2);</v>
      </c>
    </row>
    <row r="9" spans="2:11" x14ac:dyDescent="0.35">
      <c r="B9">
        <v>2</v>
      </c>
      <c r="C9">
        <v>6</v>
      </c>
      <c r="D9" t="str">
        <f>_xlfn.CONCAT("insert into custprod values(",Table6[[#This Row],[CID]],",",Table6[[#This Row],[PID]],");")</f>
        <v>insert into custprod values(2,6);</v>
      </c>
    </row>
    <row r="10" spans="2:11" x14ac:dyDescent="0.35">
      <c r="B10">
        <v>2</v>
      </c>
      <c r="C10">
        <v>12</v>
      </c>
      <c r="D10" t="str">
        <f>_xlfn.CONCAT("insert into custprod values(",Table6[[#This Row],[CID]],",",Table6[[#This Row],[PID]],");")</f>
        <v>insert into custprod values(2,12);</v>
      </c>
    </row>
    <row r="11" spans="2:11" x14ac:dyDescent="0.35">
      <c r="B11">
        <v>3</v>
      </c>
      <c r="C11">
        <v>3</v>
      </c>
      <c r="D11" t="str">
        <f>_xlfn.CONCAT("insert into custprod values(",Table6[[#This Row],[CID]],",",Table6[[#This Row],[PID]],");")</f>
        <v>insert into custprod values(3,3);</v>
      </c>
      <c r="E11" t="s">
        <v>35</v>
      </c>
      <c r="F11" t="s">
        <v>38</v>
      </c>
    </row>
    <row r="12" spans="2:11" x14ac:dyDescent="0.35">
      <c r="B12">
        <v>3</v>
      </c>
      <c r="C12">
        <v>7</v>
      </c>
      <c r="D12" t="str">
        <f>_xlfn.CONCAT("insert into custprod values(",Table6[[#This Row],[CID]],",",Table6[[#This Row],[PID]],");")</f>
        <v>insert into custprod values(3,7);</v>
      </c>
      <c r="E12" t="s">
        <v>36</v>
      </c>
      <c r="F12" t="s">
        <v>39</v>
      </c>
    </row>
    <row r="13" spans="2:11" x14ac:dyDescent="0.35">
      <c r="B13">
        <v>3</v>
      </c>
      <c r="C13">
        <v>8</v>
      </c>
      <c r="D13" t="str">
        <f>_xlfn.CONCAT("insert into custprod values(",Table6[[#This Row],[CID]],",",Table6[[#This Row],[PID]],");")</f>
        <v>insert into custprod values(3,8);</v>
      </c>
    </row>
    <row r="14" spans="2:11" x14ac:dyDescent="0.35">
      <c r="B14">
        <v>3</v>
      </c>
      <c r="C14">
        <v>9</v>
      </c>
      <c r="D14" t="str">
        <f>_xlfn.CONCAT("insert into custprod values(",Table6[[#This Row],[CID]],",",Table6[[#This Row],[PID]],");")</f>
        <v>insert into custprod values(3,9);</v>
      </c>
      <c r="E14">
        <v>1</v>
      </c>
      <c r="F14" t="s">
        <v>40</v>
      </c>
    </row>
    <row r="15" spans="2:11" x14ac:dyDescent="0.35">
      <c r="B15">
        <v>3</v>
      </c>
      <c r="C15">
        <v>10</v>
      </c>
      <c r="D15" t="str">
        <f>_xlfn.CONCAT("insert into custprod values(",Table6[[#This Row],[CID]],",",Table6[[#This Row],[PID]],");")</f>
        <v>insert into custprod values(3,10);</v>
      </c>
      <c r="E15">
        <v>2</v>
      </c>
      <c r="F15" t="s">
        <v>41</v>
      </c>
    </row>
    <row r="16" spans="2:11" x14ac:dyDescent="0.35">
      <c r="E16">
        <v>3</v>
      </c>
      <c r="F16" t="s">
        <v>42</v>
      </c>
    </row>
  </sheetData>
  <mergeCells count="1">
    <mergeCell ref="B1:C1"/>
  </mergeCells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545F-36D3-4BD3-BE6D-A8869252F65E}">
  <dimension ref="A1:G12"/>
  <sheetViews>
    <sheetView tabSelected="1" workbookViewId="0">
      <selection activeCell="F13" sqref="F13"/>
    </sheetView>
  </sheetViews>
  <sheetFormatPr defaultRowHeight="14.5" x14ac:dyDescent="0.35"/>
  <cols>
    <col min="2" max="2" width="11.453125" bestFit="1" customWidth="1"/>
    <col min="7" max="7" width="13.81640625" bestFit="1" customWidth="1"/>
  </cols>
  <sheetData>
    <row r="1" spans="1:7" x14ac:dyDescent="0.35">
      <c r="A1" s="15" t="s">
        <v>43</v>
      </c>
      <c r="B1" s="15"/>
    </row>
    <row r="2" spans="1:7" x14ac:dyDescent="0.35">
      <c r="A2" t="s">
        <v>44</v>
      </c>
      <c r="B2" t="s">
        <v>45</v>
      </c>
      <c r="F2" t="s">
        <v>44</v>
      </c>
      <c r="G2" t="s">
        <v>54</v>
      </c>
    </row>
    <row r="3" spans="1:7" x14ac:dyDescent="0.35">
      <c r="A3" t="s">
        <v>46</v>
      </c>
      <c r="B3" t="s">
        <v>46</v>
      </c>
      <c r="F3" t="s">
        <v>46</v>
      </c>
      <c r="G3" t="s">
        <v>46</v>
      </c>
    </row>
    <row r="4" spans="1:7" x14ac:dyDescent="0.35">
      <c r="A4" t="s">
        <v>47</v>
      </c>
      <c r="B4" t="s">
        <v>46</v>
      </c>
      <c r="F4" t="s">
        <v>47</v>
      </c>
      <c r="G4" t="s">
        <v>46</v>
      </c>
    </row>
    <row r="5" spans="1:7" x14ac:dyDescent="0.35">
      <c r="A5" t="s">
        <v>48</v>
      </c>
      <c r="B5" t="s">
        <v>48</v>
      </c>
      <c r="F5" t="s">
        <v>48</v>
      </c>
      <c r="G5" t="s">
        <v>48</v>
      </c>
    </row>
    <row r="6" spans="1:7" x14ac:dyDescent="0.35">
      <c r="A6" t="s">
        <v>49</v>
      </c>
      <c r="B6" t="s">
        <v>48</v>
      </c>
      <c r="F6" t="s">
        <v>49</v>
      </c>
      <c r="G6" t="s">
        <v>48</v>
      </c>
    </row>
    <row r="7" spans="1:7" x14ac:dyDescent="0.35">
      <c r="A7" t="s">
        <v>20</v>
      </c>
      <c r="B7" t="s">
        <v>49</v>
      </c>
      <c r="F7" t="s">
        <v>20</v>
      </c>
      <c r="G7" t="s">
        <v>48</v>
      </c>
    </row>
    <row r="8" spans="1:7" x14ac:dyDescent="0.35">
      <c r="A8" t="s">
        <v>50</v>
      </c>
      <c r="B8" t="s">
        <v>46</v>
      </c>
      <c r="F8" t="s">
        <v>50</v>
      </c>
      <c r="G8" t="s">
        <v>46</v>
      </c>
    </row>
    <row r="9" spans="1:7" x14ac:dyDescent="0.35">
      <c r="A9" t="s">
        <v>51</v>
      </c>
      <c r="B9" t="s">
        <v>50</v>
      </c>
      <c r="F9" t="s">
        <v>51</v>
      </c>
      <c r="G9" t="s">
        <v>46</v>
      </c>
    </row>
    <row r="10" spans="1:7" x14ac:dyDescent="0.35">
      <c r="A10" t="s">
        <v>25</v>
      </c>
      <c r="B10" t="s">
        <v>49</v>
      </c>
      <c r="F10" t="s">
        <v>25</v>
      </c>
      <c r="G10" t="s">
        <v>48</v>
      </c>
    </row>
    <row r="11" spans="1:7" x14ac:dyDescent="0.35">
      <c r="A11" t="s">
        <v>53</v>
      </c>
      <c r="B11" t="s">
        <v>25</v>
      </c>
      <c r="F11" t="s">
        <v>53</v>
      </c>
      <c r="G11" t="s">
        <v>48</v>
      </c>
    </row>
    <row r="12" spans="1:7" x14ac:dyDescent="0.35">
      <c r="A12" t="s">
        <v>52</v>
      </c>
      <c r="B12" t="s">
        <v>25</v>
      </c>
      <c r="F12" t="s">
        <v>52</v>
      </c>
      <c r="G12" t="s">
        <v>48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Rajendra {PEP}</dc:creator>
  <cp:lastModifiedBy>Jain, Rajendra {PEP}</cp:lastModifiedBy>
  <dcterms:created xsi:type="dcterms:W3CDTF">2023-04-16T03:51:40Z</dcterms:created>
  <dcterms:modified xsi:type="dcterms:W3CDTF">2023-04-17T10:00:21Z</dcterms:modified>
</cp:coreProperties>
</file>